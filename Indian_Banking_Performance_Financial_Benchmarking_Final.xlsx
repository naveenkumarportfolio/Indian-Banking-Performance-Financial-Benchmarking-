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480EFBBC-0C04-4089-B52E-2CB4A267ED25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Raw_Data" sheetId="2" r:id="rId1"/>
    <sheet name="Analysis" sheetId="4" r:id="rId2"/>
    <sheet name="Dashboard" sheetId="5" r:id="rId3"/>
  </sheets>
  <definedNames>
    <definedName name="_xlnm.Print_Area" localSheetId="1">Analysis!$A$1:$L$37</definedName>
    <definedName name="_xlnm.Print_Area" localSheetId="2">Dashboard!$A$1:$Q$65</definedName>
    <definedName name="_xlnm.Print_Area" localSheetId="0">Raw_Data!$A$1:$L$8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4" l="1"/>
  <c r="C34" i="4"/>
  <c r="C33" i="4"/>
  <c r="C32" i="4"/>
  <c r="C31" i="4"/>
  <c r="C30" i="4"/>
  <c r="E13" i="4"/>
  <c r="D13" i="4"/>
  <c r="C13" i="4"/>
  <c r="E12" i="4"/>
  <c r="D12" i="4"/>
  <c r="C12" i="4"/>
  <c r="E11" i="4"/>
  <c r="Y13" i="5" s="1"/>
  <c r="D11" i="4"/>
  <c r="C11" i="4"/>
  <c r="E10" i="4"/>
  <c r="X13" i="5" s="1"/>
  <c r="D10" i="4"/>
  <c r="C10" i="4"/>
  <c r="E9" i="4"/>
  <c r="W13" i="5" s="1"/>
  <c r="D9" i="4"/>
  <c r="C9" i="4"/>
  <c r="E8" i="4"/>
  <c r="U13" i="5" s="1"/>
  <c r="D8" i="4"/>
  <c r="C8" i="4"/>
  <c r="E7" i="4"/>
  <c r="V13" i="5" s="1"/>
  <c r="D7" i="4"/>
  <c r="C7" i="4"/>
  <c r="E6" i="4"/>
  <c r="T13" i="5" s="1"/>
  <c r="D6" i="4"/>
  <c r="C6" i="4"/>
  <c r="E5" i="4"/>
  <c r="D5" i="4"/>
  <c r="C5" i="4"/>
  <c r="D35" i="4" l="1"/>
  <c r="E35" i="4" s="1"/>
  <c r="AA13" i="5"/>
  <c r="E25" i="4"/>
  <c r="AA12" i="5"/>
  <c r="D33" i="4"/>
  <c r="E33" i="4" s="1"/>
  <c r="D25" i="4"/>
  <c r="D31" i="4"/>
  <c r="E31" i="4" s="1"/>
  <c r="F13" i="4"/>
  <c r="AA11" i="5"/>
  <c r="H13" i="4"/>
  <c r="I13" i="4" s="1"/>
  <c r="C25" i="4"/>
  <c r="Z13" i="5"/>
  <c r="D34" i="4"/>
  <c r="E34" i="4" s="1"/>
  <c r="E24" i="4"/>
  <c r="Z12" i="5"/>
  <c r="D32" i="4"/>
  <c r="E32" i="4" s="1"/>
  <c r="Z11" i="5"/>
  <c r="F12" i="4"/>
  <c r="H12" i="4"/>
  <c r="I12" i="4" s="1"/>
  <c r="D30" i="4"/>
  <c r="C24" i="4"/>
  <c r="D24" i="4"/>
  <c r="E23" i="4"/>
  <c r="Y12" i="5"/>
  <c r="H11" i="4"/>
  <c r="I11" i="4" s="1"/>
  <c r="Y11" i="5"/>
  <c r="C23" i="4"/>
  <c r="D23" i="4"/>
  <c r="F11" i="4"/>
  <c r="E22" i="4"/>
  <c r="X12" i="5"/>
  <c r="D22" i="4"/>
  <c r="X11" i="5"/>
  <c r="H10" i="4"/>
  <c r="I10" i="4" s="1"/>
  <c r="C22" i="4"/>
  <c r="F10" i="4"/>
  <c r="E21" i="4"/>
  <c r="W12" i="5"/>
  <c r="D21" i="4"/>
  <c r="C21" i="4"/>
  <c r="W11" i="5"/>
  <c r="H9" i="4"/>
  <c r="I9" i="4" s="1"/>
  <c r="F9" i="4"/>
  <c r="E20" i="4"/>
  <c r="U12" i="5"/>
  <c r="U11" i="5"/>
  <c r="C20" i="4"/>
  <c r="D20" i="4"/>
  <c r="H8" i="4"/>
  <c r="I8" i="4" s="1"/>
  <c r="F8" i="4"/>
  <c r="V12" i="5"/>
  <c r="E19" i="4"/>
  <c r="C19" i="4"/>
  <c r="V11" i="5"/>
  <c r="D19" i="4"/>
  <c r="H7" i="4"/>
  <c r="I7" i="4" s="1"/>
  <c r="F7" i="4"/>
  <c r="T12" i="5"/>
  <c r="E18" i="4"/>
  <c r="C18" i="4"/>
  <c r="T11" i="5"/>
  <c r="D18" i="4"/>
  <c r="H6" i="4"/>
  <c r="F6" i="4"/>
  <c r="G13" i="4" l="1"/>
  <c r="J13" i="4"/>
  <c r="G12" i="4"/>
  <c r="J12" i="4"/>
  <c r="E30" i="4"/>
  <c r="G11" i="4"/>
  <c r="B61" i="5" s="1"/>
  <c r="J11" i="4"/>
  <c r="G10" i="4"/>
  <c r="J10" i="4"/>
  <c r="G9" i="4"/>
  <c r="J9" i="4"/>
  <c r="G8" i="4"/>
  <c r="J8" i="4"/>
  <c r="G7" i="4"/>
  <c r="J7" i="4"/>
  <c r="G6" i="4"/>
  <c r="J6" i="4"/>
  <c r="I6" i="4"/>
  <c r="B62" i="5" l="1"/>
  <c r="B60" i="5"/>
  <c r="B63" i="5"/>
  <c r="B59" i="5"/>
</calcChain>
</file>

<file path=xl/sharedStrings.xml><?xml version="1.0" encoding="utf-8"?>
<sst xmlns="http://schemas.openxmlformats.org/spreadsheetml/2006/main" count="131" uniqueCount="77">
  <si>
    <t>HDFC Bank</t>
  </si>
  <si>
    <t>ICICI Bank</t>
  </si>
  <si>
    <t>State Bank of India (SBI)</t>
  </si>
  <si>
    <t>KPI</t>
  </si>
  <si>
    <t>Unit</t>
  </si>
  <si>
    <t>Return on Assets (ROA)</t>
  </si>
  <si>
    <t>%</t>
  </si>
  <si>
    <t>Return on Equity (ROE)</t>
  </si>
  <si>
    <t>Net Interest Margin (NIM)</t>
  </si>
  <si>
    <t>Gross NPA ratio (GNPA)</t>
  </si>
  <si>
    <t>Net NPA ratio (NNPA)</t>
  </si>
  <si>
    <t>Cost-to-Income Ratio</t>
  </si>
  <si>
    <t>Advances</t>
  </si>
  <si>
    <t>₹ crore</t>
  </si>
  <si>
    <t>Deposits</t>
  </si>
  <si>
    <t>Raw_Data – Source inputs (as reported)</t>
  </si>
  <si>
    <t>Bank</t>
  </si>
  <si>
    <t>Financial Year</t>
  </si>
  <si>
    <t>Reporting Basis</t>
  </si>
  <si>
    <t>ROA (%)</t>
  </si>
  <si>
    <t>ROE (%)</t>
  </si>
  <si>
    <t>NIM (%)</t>
  </si>
  <si>
    <t>GNPA (%)</t>
  </si>
  <si>
    <t>NNPA (%)</t>
  </si>
  <si>
    <t>Cost-to-Income (%)</t>
  </si>
  <si>
    <t>Advances (₹ crore)</t>
  </si>
  <si>
    <t>Deposits (₹ crore)</t>
  </si>
  <si>
    <t>FY 2025-26</t>
  </si>
  <si>
    <t>Standalone</t>
  </si>
  <si>
    <t>Analysis – Comparative KPI analysis</t>
  </si>
  <si>
    <t>A. KPI comparison and high / low values</t>
  </si>
  <si>
    <t>Highest reported</t>
  </si>
  <si>
    <t>Bank (highest)</t>
  </si>
  <si>
    <t>Lowest reported</t>
  </si>
  <si>
    <t>Bank (lowest)</t>
  </si>
  <si>
    <t>Tie check</t>
  </si>
  <si>
    <t>General interpretation (apply cautiously)</t>
  </si>
  <si>
    <t>Higher = stronger reported asset profitability</t>
  </si>
  <si>
    <t>Higher = stronger reported shareholder return (leverage matters)</t>
  </si>
  <si>
    <t>Higher = stronger reported margin</t>
  </si>
  <si>
    <t>Lower = better reported gross asset quality</t>
  </si>
  <si>
    <t>Lower = better reported net asset quality</t>
  </si>
  <si>
    <t>Lower = better reported efficiency (methodology differs)</t>
  </si>
  <si>
    <t>Broadly comparable; income/cost definitions differ slightly (see Sources).</t>
  </si>
  <si>
    <t>Higher = larger reported lending scale, not better performance</t>
  </si>
  <si>
    <t>Comparable: year-end net advances, standalone, ₹ crore.</t>
  </si>
  <si>
    <t>Higher = larger reported deposit scale, not better performance</t>
  </si>
  <si>
    <t>Comparable: year-end total deposits, standalone, ₹ crore.</t>
  </si>
  <si>
    <t>B. Pairwise differences (first bank minus second bank; ratios in percentage points, balances in ₹ crore)</t>
  </si>
  <si>
    <t>HDFC − ICICI</t>
  </si>
  <si>
    <t>HDFC − SBI</t>
  </si>
  <si>
    <t>ICICI − SBI</t>
  </si>
  <si>
    <t>Comparability flag</t>
  </si>
  <si>
    <t>pp</t>
  </si>
  <si>
    <t>OK – comparable basis</t>
  </si>
  <si>
    <t>Caution – SBI ROE basis unconfirmed</t>
  </si>
  <si>
    <t>WARNING – definitions differ/unconfirmed; indicative only</t>
  </si>
  <si>
    <t>C. Year-on-year growth in year-end balances (FY 2025-26 vs FY 2024-25, standalone) – Growth % = (Current − Prior) ÷ Prior × 100</t>
  </si>
  <si>
    <t>Metric</t>
  </si>
  <si>
    <t>Prior (31 Mar 2025, ₹ crore)</t>
  </si>
  <si>
    <t>Current (31 Mar 2026, ₹ crore)</t>
  </si>
  <si>
    <t>Growth (%)</t>
  </si>
  <si>
    <t>Reconciliation to bank-reported growth</t>
  </si>
  <si>
    <t>Bank-reported advances growth 12.1% (CEO message).</t>
  </si>
  <si>
    <t>Bank-reported deposit growth 14.4% (CEO message).</t>
  </si>
  <si>
    <t>Bank-reported 15.8% for net advances net of BRDS/IBPC (MD&amp;A); 14.1% on a gross-of-BRDS basis is a different measure.</t>
  </si>
  <si>
    <t>Bank-reported deposit growth 11.4% (MD&amp;A).</t>
  </si>
  <si>
    <t>Bank-reported advances growth 16.87% (KPI page) appears to use a different advances basis (₹49.3 trn).</t>
  </si>
  <si>
    <t>Bank-reported deposit growth 11.03% (Chairman's message).</t>
  </si>
  <si>
    <t>INDIAN BANKING FINANCIAL PERFORMANCE BENCHMARKING</t>
  </si>
  <si>
    <t>HDFC Bank | ICICI Bank | State Bank of India</t>
  </si>
  <si>
    <t>Chart data (formula-linked to Analysis; #N/A = missing, plotted as gap, never zero)</t>
  </si>
  <si>
    <t>HDFC</t>
  </si>
  <si>
    <t>ICICI</t>
  </si>
  <si>
    <t>SBI</t>
  </si>
  <si>
    <t>Status definitions: 'Verified against PDF' requires inspection of the original PDF table; 'Partially verified' = traced to the report text extract and cross-checked but PDF page not inspected. Only 'Verified against PDF' counts toward the 24.</t>
  </si>
  <si>
    <t>MY  FINDINGS (formula-driven from Analysis and QA_Checks)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</si>
</sst>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%"/>
    <numFmt numFmtId="165" formatCode="\+0.00&quot; pp&quot;;\-0.00&quot; pp&quot;;0.00&quot; pp&quot;"/>
    <numFmt numFmtId="166" formatCode="\+#,##0.00;\-#,##0.00;0.00"/>
  </numFmts>
  <fonts count="21" x14ac:knownFonts="1">
    <font>
      <sz val="11"/>
      <color theme="1"/>
      <name val="Calibri"/>
      <family val="2"/>
      <charset val="1"/>
    </font>
    <font>
      <b/>
      <sz val="10"/>
      <color rgb="FF333333"/>
      <name val="Calibri"/>
      <family val="2"/>
    </font>
    <font>
      <sz val="10"/>
      <color rgb="FF333333"/>
      <name val="Calibri"/>
      <family val="2"/>
    </font>
    <font>
      <i/>
      <sz val="10"/>
      <color rgb="FF595959"/>
      <name val="Calibri"/>
      <family val="2"/>
    </font>
    <font>
      <i/>
      <sz val="9"/>
      <color rgb="FF595959"/>
      <name val="Calibri"/>
      <family val="2"/>
    </font>
    <font>
      <b/>
      <sz val="12"/>
      <color rgb="FF333333"/>
      <name val="Calibri"/>
      <family val="2"/>
    </font>
    <font>
      <b/>
      <sz val="20"/>
      <color rgb="FF333333"/>
      <name val="Calibri"/>
      <family val="2"/>
    </font>
    <font>
      <sz val="13"/>
      <color rgb="FF595959"/>
      <name val="Calibri"/>
      <family val="2"/>
    </font>
    <font>
      <b/>
      <sz val="9"/>
      <color rgb="FF333333"/>
      <name val="Calibri"/>
      <family val="2"/>
    </font>
    <font>
      <i/>
      <sz val="8"/>
      <color rgb="FF595959"/>
      <name val="Calibri"/>
      <family val="2"/>
    </font>
    <font>
      <b/>
      <sz val="16"/>
      <color theme="3"/>
      <name val="Calibri"/>
      <family val="2"/>
    </font>
    <font>
      <sz val="11"/>
      <color theme="3"/>
      <name val="Calibri"/>
      <family val="2"/>
    </font>
    <font>
      <b/>
      <sz val="20"/>
      <color theme="3"/>
      <name val="Calibri"/>
      <family val="2"/>
    </font>
    <font>
      <sz val="20"/>
      <color theme="3"/>
      <name val="Calibri"/>
      <family val="2"/>
    </font>
    <font>
      <sz val="16"/>
      <color theme="3"/>
      <name val="Calibri"/>
      <family val="2"/>
    </font>
    <font>
      <b/>
      <sz val="10"/>
      <color theme="1"/>
      <name val="Calibri"/>
      <family val="2"/>
    </font>
    <font>
      <b/>
      <sz val="9"/>
      <color theme="0"/>
      <name val="Calibri"/>
      <family val="2"/>
    </font>
    <font>
      <sz val="11"/>
      <color theme="0"/>
      <name val="Calibri"/>
      <family val="2"/>
    </font>
    <font>
      <b/>
      <sz val="17"/>
      <color theme="0"/>
      <name val="Calibri"/>
      <family val="2"/>
    </font>
    <font>
      <sz val="8"/>
      <color theme="0"/>
      <name val="Calibri"/>
      <family val="2"/>
    </font>
    <font>
      <sz val="11"/>
      <color theme="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D400"/>
        <bgColor rgb="FFFFFF00"/>
      </patternFill>
    </fill>
    <fill>
      <patternFill patternType="solid">
        <fgColor rgb="FFFFF2A8"/>
        <bgColor rgb="FFFFE6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E2F0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8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9" fillId="0" borderId="0" xfId="0" applyFont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10" fillId="4" borderId="0" xfId="0" applyFont="1" applyFill="1"/>
    <xf numFmtId="0" fontId="11" fillId="4" borderId="0" xfId="0" applyFont="1" applyFill="1"/>
    <xf numFmtId="0" fontId="12" fillId="4" borderId="0" xfId="0" applyFont="1" applyFill="1"/>
    <xf numFmtId="0" fontId="13" fillId="4" borderId="0" xfId="0" applyFont="1" applyFill="1"/>
    <xf numFmtId="0" fontId="14" fillId="4" borderId="0" xfId="0" applyFont="1" applyFill="1"/>
    <xf numFmtId="0" fontId="15" fillId="6" borderId="1" xfId="0" applyFont="1" applyFill="1" applyBorder="1" applyAlignment="1">
      <alignment horizontal="center" vertical="center" wrapText="1"/>
    </xf>
    <xf numFmtId="0" fontId="10" fillId="7" borderId="0" xfId="0" applyFont="1" applyFill="1"/>
    <xf numFmtId="0" fontId="14" fillId="7" borderId="0" xfId="0" applyFont="1" applyFill="1"/>
    <xf numFmtId="0" fontId="17" fillId="8" borderId="0" xfId="0" applyFont="1" applyFill="1"/>
    <xf numFmtId="0" fontId="20" fillId="5" borderId="0" xfId="0" applyFont="1" applyFill="1"/>
    <xf numFmtId="0" fontId="16" fillId="5" borderId="0" xfId="0" applyFont="1" applyFill="1" applyBorder="1" applyAlignment="1">
      <alignment horizontal="center" vertical="center" wrapText="1"/>
    </xf>
    <xf numFmtId="0" fontId="18" fillId="9" borderId="0" xfId="0" applyFont="1" applyFill="1" applyBorder="1" applyAlignment="1">
      <alignment horizontal="center" vertical="center" wrapText="1"/>
    </xf>
    <xf numFmtId="0" fontId="19" fillId="1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D9D9D9"/>
        </patternFill>
      </fill>
    </dxf>
    <dxf>
      <fill>
        <patternFill>
          <bgColor rgb="FFFFF2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2A8"/>
      <rgbColor rgb="FF99CCFF"/>
      <rgbColor rgb="FFF4B084"/>
      <rgbColor rgb="FFCC99FF"/>
      <rgbColor rgb="FFFFE699"/>
      <rgbColor rgb="FF3366FF"/>
      <rgbColor rgb="FF33CCCC"/>
      <rgbColor rgb="FF99CC00"/>
      <rgbColor rgb="FFFFD4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Profitability: ROA and NIM (%)</a:t>
            </a:r>
          </a:p>
        </c:rich>
      </c:tx>
      <c:layout>
        <c:manualLayout>
          <c:xMode val="edge"/>
          <c:yMode val="edge"/>
          <c:x val="0.23692352137829603"/>
          <c:y val="4.0894059341823892E-2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Dashboard!$T$10</c:f>
              <c:strCache>
                <c:ptCount val="1"/>
                <c:pt idx="0">
                  <c:v>ROA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Dashboard!$S$11:$S$13</c:f>
              <c:strCache>
                <c:ptCount val="3"/>
                <c:pt idx="0">
                  <c:v>HDFC</c:v>
                </c:pt>
                <c:pt idx="1">
                  <c:v>ICICI</c:v>
                </c:pt>
                <c:pt idx="2">
                  <c:v>SBI</c:v>
                </c:pt>
              </c:strCache>
            </c:strRef>
          </c:cat>
          <c:val>
            <c:numRef>
              <c:f>Dashboard!$T$11:$T$13</c:f>
              <c:numCache>
                <c:formatCode>0.00\%</c:formatCode>
                <c:ptCount val="3"/>
                <c:pt idx="0">
                  <c:v>1.94</c:v>
                </c:pt>
                <c:pt idx="1">
                  <c:v>2.3199999999999998</c:v>
                </c:pt>
                <c:pt idx="2">
                  <c:v>1.1200000000000001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1-4385-883A-8216912F29E6}"/>
            </c:ext>
          </c:extLst>
        </c:ser>
        <c:ser>
          <c:idx val="1"/>
          <c:order val="1"/>
          <c:tx>
            <c:strRef>
              <c:f>Dashboard!$U$10</c:f>
              <c:strCache>
                <c:ptCount val="1"/>
                <c:pt idx="0">
                  <c:v>NIM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Dashboard!$S$11:$S$13</c:f>
              <c:strCache>
                <c:ptCount val="3"/>
                <c:pt idx="0">
                  <c:v>HDFC</c:v>
                </c:pt>
                <c:pt idx="1">
                  <c:v>ICICI</c:v>
                </c:pt>
                <c:pt idx="2">
                  <c:v>SBI</c:v>
                </c:pt>
              </c:strCache>
            </c:strRef>
          </c:cat>
          <c:val>
            <c:numRef>
              <c:f>Dashboard!$U$11:$U$13</c:f>
              <c:numCache>
                <c:formatCode>0.00\%</c:formatCode>
                <c:ptCount val="3"/>
                <c:pt idx="0">
                  <c:v>3.5</c:v>
                </c:pt>
                <c:pt idx="1">
                  <c:v>4.32</c:v>
                </c:pt>
                <c:pt idx="2">
                  <c:v>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1-4385-883A-8216912F2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2645968"/>
        <c:axId val="75855670"/>
      </c:barChart>
      <c:catAx>
        <c:axId val="4264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75855670"/>
        <c:crosses val="autoZero"/>
        <c:auto val="1"/>
        <c:lblAlgn val="ctr"/>
        <c:lblOffset val="100"/>
        <c:noMultiLvlLbl val="0"/>
      </c:catAx>
      <c:valAx>
        <c:axId val="75855670"/>
        <c:scaling>
          <c:orientation val="minMax"/>
          <c:min val="0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42645968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Return on Equity (%)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Dashboard!$V$10</c:f>
              <c:strCache>
                <c:ptCount val="1"/>
                <c:pt idx="0">
                  <c:v>ROE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Dashboard!$S$11:$S$13</c:f>
              <c:strCache>
                <c:ptCount val="3"/>
                <c:pt idx="0">
                  <c:v>HDFC</c:v>
                </c:pt>
                <c:pt idx="1">
                  <c:v>ICICI</c:v>
                </c:pt>
                <c:pt idx="2">
                  <c:v>SBI</c:v>
                </c:pt>
              </c:strCache>
            </c:strRef>
          </c:cat>
          <c:val>
            <c:numRef>
              <c:f>Dashboard!$V$11:$V$13</c:f>
              <c:numCache>
                <c:formatCode>0.00\%</c:formatCode>
                <c:ptCount val="3"/>
                <c:pt idx="0">
                  <c:v>14.29</c:v>
                </c:pt>
                <c:pt idx="1">
                  <c:v>15.97</c:v>
                </c:pt>
                <c:pt idx="2">
                  <c:v>18.57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1-4570-B308-5D9CB6992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8983262"/>
        <c:axId val="60693615"/>
      </c:barChart>
      <c:catAx>
        <c:axId val="18983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60693615"/>
        <c:crosses val="autoZero"/>
        <c:auto val="1"/>
        <c:lblAlgn val="ctr"/>
        <c:lblOffset val="100"/>
        <c:noMultiLvlLbl val="0"/>
      </c:catAx>
      <c:valAx>
        <c:axId val="60693615"/>
        <c:scaling>
          <c:orientation val="minMax"/>
          <c:min val="0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18983262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Asset quality: GNPA and NNPA (%)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Dashboard!$W$10</c:f>
              <c:strCache>
                <c:ptCount val="1"/>
                <c:pt idx="0">
                  <c:v>GNPA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Dashboard!$S$11:$S$13</c:f>
              <c:strCache>
                <c:ptCount val="3"/>
                <c:pt idx="0">
                  <c:v>HDFC</c:v>
                </c:pt>
                <c:pt idx="1">
                  <c:v>ICICI</c:v>
                </c:pt>
                <c:pt idx="2">
                  <c:v>SBI</c:v>
                </c:pt>
              </c:strCache>
            </c:strRef>
          </c:cat>
          <c:val>
            <c:numRef>
              <c:f>Dashboard!$W$11:$W$13</c:f>
              <c:numCache>
                <c:formatCode>0.00\%</c:formatCode>
                <c:ptCount val="3"/>
                <c:pt idx="0">
                  <c:v>1.1499999999999999</c:v>
                </c:pt>
                <c:pt idx="1">
                  <c:v>1.44</c:v>
                </c:pt>
                <c:pt idx="2">
                  <c:v>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C-4028-ABCC-17C6F02C08D5}"/>
            </c:ext>
          </c:extLst>
        </c:ser>
        <c:ser>
          <c:idx val="1"/>
          <c:order val="1"/>
          <c:tx>
            <c:strRef>
              <c:f>Dashboard!$X$10</c:f>
              <c:strCache>
                <c:ptCount val="1"/>
                <c:pt idx="0">
                  <c:v>NNPA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Dashboard!$S$11:$S$13</c:f>
              <c:strCache>
                <c:ptCount val="3"/>
                <c:pt idx="0">
                  <c:v>HDFC</c:v>
                </c:pt>
                <c:pt idx="1">
                  <c:v>ICICI</c:v>
                </c:pt>
                <c:pt idx="2">
                  <c:v>SBI</c:v>
                </c:pt>
              </c:strCache>
            </c:strRef>
          </c:cat>
          <c:val>
            <c:numRef>
              <c:f>Dashboard!$X$11:$X$13</c:f>
              <c:numCache>
                <c:formatCode>0.00\%</c:formatCode>
                <c:ptCount val="3"/>
                <c:pt idx="0">
                  <c:v>0.38</c:v>
                </c:pt>
                <c:pt idx="1">
                  <c:v>0.35</c:v>
                </c:pt>
                <c:pt idx="2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C-4028-ABCC-17C6F02C0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9104636"/>
        <c:axId val="33250877"/>
      </c:barChart>
      <c:catAx>
        <c:axId val="29104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33250877"/>
        <c:crosses val="autoZero"/>
        <c:auto val="1"/>
        <c:lblAlgn val="ctr"/>
        <c:lblOffset val="100"/>
        <c:noMultiLvlLbl val="0"/>
      </c:catAx>
      <c:valAx>
        <c:axId val="33250877"/>
        <c:scaling>
          <c:orientation val="minMax"/>
          <c:min val="0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29104636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Operating efficiency: Cost-to-Income (%)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Dashboard!$Y$10</c:f>
              <c:strCache>
                <c:ptCount val="1"/>
                <c:pt idx="0">
                  <c:v>Cost-to-Income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Dashboard!$S$11:$S$13</c:f>
              <c:strCache>
                <c:ptCount val="3"/>
                <c:pt idx="0">
                  <c:v>HDFC</c:v>
                </c:pt>
                <c:pt idx="1">
                  <c:v>ICICI</c:v>
                </c:pt>
                <c:pt idx="2">
                  <c:v>SBI</c:v>
                </c:pt>
              </c:strCache>
            </c:strRef>
          </c:cat>
          <c:val>
            <c:numRef>
              <c:f>Dashboard!$Y$11:$Y$13</c:f>
              <c:numCache>
                <c:formatCode>0.00\%</c:formatCode>
                <c:ptCount val="3"/>
                <c:pt idx="0">
                  <c:v>38</c:v>
                </c:pt>
                <c:pt idx="1">
                  <c:v>39.75</c:v>
                </c:pt>
                <c:pt idx="2">
                  <c:v>50.11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3-4DB8-8242-977A97F8A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98556514"/>
        <c:axId val="15853146"/>
      </c:barChart>
      <c:catAx>
        <c:axId val="985565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15853146"/>
        <c:crosses val="autoZero"/>
        <c:auto val="1"/>
        <c:lblAlgn val="ctr"/>
        <c:lblOffset val="100"/>
        <c:noMultiLvlLbl val="0"/>
      </c:catAx>
      <c:valAx>
        <c:axId val="15853146"/>
        <c:scaling>
          <c:orientation val="minMax"/>
          <c:min val="0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9855651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Advances and Deposits (₹ crore)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Dashboard!$Z$10</c:f>
              <c:strCache>
                <c:ptCount val="1"/>
                <c:pt idx="0">
                  <c:v>Advances (₹ crore)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Dashboard!$S$11:$S$13</c:f>
              <c:strCache>
                <c:ptCount val="3"/>
                <c:pt idx="0">
                  <c:v>HDFC</c:v>
                </c:pt>
                <c:pt idx="1">
                  <c:v>ICICI</c:v>
                </c:pt>
                <c:pt idx="2">
                  <c:v>SBI</c:v>
                </c:pt>
              </c:strCache>
            </c:strRef>
          </c:cat>
          <c:val>
            <c:numRef>
              <c:f>Dashboard!$Z$11:$Z$13</c:f>
              <c:numCache>
                <c:formatCode>#,##0</c:formatCode>
                <c:ptCount val="3"/>
                <c:pt idx="0">
                  <c:v>2937166.27</c:v>
                </c:pt>
                <c:pt idx="1">
                  <c:v>1553892.95</c:v>
                </c:pt>
                <c:pt idx="2">
                  <c:v>4877894.83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B-4AC0-8A33-C154DD430C12}"/>
            </c:ext>
          </c:extLst>
        </c:ser>
        <c:ser>
          <c:idx val="1"/>
          <c:order val="1"/>
          <c:tx>
            <c:strRef>
              <c:f>Dashboard!$AA$10</c:f>
              <c:strCache>
                <c:ptCount val="1"/>
                <c:pt idx="0">
                  <c:v>Deposits (₹ crore)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Dashboard!$S$11:$S$13</c:f>
              <c:strCache>
                <c:ptCount val="3"/>
                <c:pt idx="0">
                  <c:v>HDFC</c:v>
                </c:pt>
                <c:pt idx="1">
                  <c:v>ICICI</c:v>
                </c:pt>
                <c:pt idx="2">
                  <c:v>SBI</c:v>
                </c:pt>
              </c:strCache>
            </c:strRef>
          </c:cat>
          <c:val>
            <c:numRef>
              <c:f>Dashboard!$AA$11:$AA$13</c:f>
              <c:numCache>
                <c:formatCode>#,##0</c:formatCode>
                <c:ptCount val="3"/>
                <c:pt idx="0">
                  <c:v>3105250.47</c:v>
                </c:pt>
                <c:pt idx="1">
                  <c:v>1794624.98</c:v>
                </c:pt>
                <c:pt idx="2">
                  <c:v>5975642.1200000001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B-4AC0-8A33-C154DD430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71515803"/>
        <c:axId val="7358291"/>
      </c:barChart>
      <c:catAx>
        <c:axId val="715158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7358291"/>
        <c:crosses val="autoZero"/>
        <c:auto val="1"/>
        <c:lblAlgn val="ctr"/>
        <c:lblOffset val="100"/>
        <c:noMultiLvlLbl val="0"/>
      </c:catAx>
      <c:valAx>
        <c:axId val="7358291"/>
        <c:scaling>
          <c:orientation val="minMax"/>
          <c:min val="0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71515803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606240</xdr:colOff>
      <xdr:row>23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0</xdr:rowOff>
    </xdr:from>
    <xdr:to>
      <xdr:col>14</xdr:col>
      <xdr:colOff>606240</xdr:colOff>
      <xdr:row>23</xdr:row>
      <xdr:rowOff>68760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606240</xdr:colOff>
      <xdr:row>39</xdr:row>
      <xdr:rowOff>68760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25</xdr:row>
      <xdr:rowOff>0</xdr:rowOff>
    </xdr:from>
    <xdr:to>
      <xdr:col>14</xdr:col>
      <xdr:colOff>606240</xdr:colOff>
      <xdr:row>39</xdr:row>
      <xdr:rowOff>68760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7</xdr:col>
      <xdr:colOff>606240</xdr:colOff>
      <xdr:row>55</xdr:row>
      <xdr:rowOff>68400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Data" displayName="BankData" ref="A4:K7" totalsRowShown="0">
  <autoFilter ref="A4:K7" xr:uid="{00000000-0009-0000-0100-000001000000}"/>
  <tableColumns count="11">
    <tableColumn id="1" xr3:uid="{00000000-0010-0000-0000-000001000000}" name="Bank"/>
    <tableColumn id="2" xr3:uid="{00000000-0010-0000-0000-000002000000}" name="Financial Year"/>
    <tableColumn id="3" xr3:uid="{00000000-0010-0000-0000-000003000000}" name="Reporting Basis"/>
    <tableColumn id="4" xr3:uid="{00000000-0010-0000-0000-000004000000}" name="ROA (%)"/>
    <tableColumn id="5" xr3:uid="{00000000-0010-0000-0000-000005000000}" name="ROE (%)"/>
    <tableColumn id="6" xr3:uid="{00000000-0010-0000-0000-000006000000}" name="NIM (%)"/>
    <tableColumn id="7" xr3:uid="{00000000-0010-0000-0000-000007000000}" name="GNPA (%)"/>
    <tableColumn id="8" xr3:uid="{00000000-0010-0000-0000-000008000000}" name="NNPA (%)"/>
    <tableColumn id="9" xr3:uid="{00000000-0010-0000-0000-000009000000}" name="Cost-to-Income (%)"/>
    <tableColumn id="10" xr3:uid="{00000000-0010-0000-0000-00000A000000}" name="Advances (₹ crore)"/>
    <tableColumn id="11" xr3:uid="{00000000-0010-0000-0000-00000B000000}" name="Deposits (₹ cror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A1:K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6" sqref="L6"/>
    </sheetView>
  </sheetViews>
  <sheetFormatPr defaultColWidth="8.6640625" defaultRowHeight="14.4" x14ac:dyDescent="0.3"/>
  <cols>
    <col min="1" max="1" width="26" customWidth="1"/>
    <col min="2" max="2" width="36.44140625" customWidth="1"/>
    <col min="3" max="3" width="14" customWidth="1"/>
    <col min="4" max="8" width="10" customWidth="1"/>
    <col min="9" max="9" width="14" customWidth="1"/>
    <col min="10" max="11" width="18" customWidth="1"/>
    <col min="12" max="12" width="90" customWidth="1"/>
  </cols>
  <sheetData>
    <row r="1" spans="1:11" ht="21" x14ac:dyDescent="0.4">
      <c r="A1" s="25" t="s">
        <v>15</v>
      </c>
      <c r="B1" s="26"/>
    </row>
    <row r="2" spans="1:11" x14ac:dyDescent="0.3">
      <c r="A2" s="5"/>
    </row>
    <row r="3" spans="1:11" x14ac:dyDescent="0.3">
      <c r="A3" s="1"/>
    </row>
    <row r="4" spans="1:11" ht="31.5" customHeight="1" x14ac:dyDescent="0.3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</row>
    <row r="5" spans="1:11" ht="117.75" customHeight="1" x14ac:dyDescent="0.3">
      <c r="A5" s="2" t="s">
        <v>0</v>
      </c>
      <c r="B5" s="6" t="s">
        <v>27</v>
      </c>
      <c r="C5" s="6" t="s">
        <v>28</v>
      </c>
      <c r="D5" s="7">
        <v>1.94</v>
      </c>
      <c r="E5" s="7">
        <v>14.29</v>
      </c>
      <c r="F5" s="7">
        <v>3.5</v>
      </c>
      <c r="G5" s="7">
        <v>1.1499999999999999</v>
      </c>
      <c r="H5" s="7">
        <v>0.38</v>
      </c>
      <c r="I5" s="7">
        <v>38</v>
      </c>
      <c r="J5" s="8">
        <v>2937166.27</v>
      </c>
      <c r="K5" s="8">
        <v>3105250.47</v>
      </c>
    </row>
    <row r="6" spans="1:11" ht="117.75" customHeight="1" x14ac:dyDescent="0.3">
      <c r="A6" s="2" t="s">
        <v>1</v>
      </c>
      <c r="B6" s="6" t="s">
        <v>27</v>
      </c>
      <c r="C6" s="6" t="s">
        <v>28</v>
      </c>
      <c r="D6" s="7">
        <v>2.3199999999999998</v>
      </c>
      <c r="E6" s="7">
        <v>15.97</v>
      </c>
      <c r="F6" s="7">
        <v>4.32</v>
      </c>
      <c r="G6" s="7">
        <v>1.44</v>
      </c>
      <c r="H6" s="7">
        <v>0.35</v>
      </c>
      <c r="I6" s="7">
        <v>39.75</v>
      </c>
      <c r="J6" s="8">
        <v>1553892.95</v>
      </c>
      <c r="K6" s="8">
        <v>1794624.98</v>
      </c>
    </row>
    <row r="7" spans="1:11" ht="117.75" customHeight="1" x14ac:dyDescent="0.3">
      <c r="A7" s="2" t="s">
        <v>2</v>
      </c>
      <c r="B7" s="6" t="s">
        <v>27</v>
      </c>
      <c r="C7" s="6" t="s">
        <v>28</v>
      </c>
      <c r="D7" s="7">
        <v>1.1200000000000001</v>
      </c>
      <c r="E7" s="7">
        <v>18.57</v>
      </c>
      <c r="F7" s="7">
        <v>2.91</v>
      </c>
      <c r="G7" s="7">
        <v>1.49</v>
      </c>
      <c r="H7" s="7">
        <v>0.39</v>
      </c>
      <c r="I7" s="7">
        <v>50.11</v>
      </c>
      <c r="J7" s="8">
        <v>4877894.83</v>
      </c>
      <c r="K7" s="8">
        <v>5975642.1200000001</v>
      </c>
    </row>
  </sheetData>
  <pageMargins left="0.4" right="0.4" top="0.5" bottom="0.5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  <pageSetUpPr fitToPage="1"/>
  </sheetPr>
  <dimension ref="A1:L37"/>
  <sheetViews>
    <sheetView showGridLines="0" zoomScale="64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40" sqref="D40"/>
    </sheetView>
  </sheetViews>
  <sheetFormatPr defaultColWidth="8.6640625" defaultRowHeight="14.4" x14ac:dyDescent="0.3"/>
  <cols>
    <col min="1" max="1" width="30" customWidth="1"/>
    <col min="2" max="2" width="12" customWidth="1"/>
    <col min="3" max="4" width="18" customWidth="1"/>
    <col min="5" max="6" width="22" customWidth="1"/>
    <col min="7" max="9" width="18" customWidth="1"/>
    <col min="10" max="10" width="26" customWidth="1"/>
    <col min="11" max="11" width="36" customWidth="1"/>
    <col min="12" max="12" width="52" customWidth="1"/>
  </cols>
  <sheetData>
    <row r="1" spans="1:12" ht="25.8" x14ac:dyDescent="0.5">
      <c r="A1" s="27" t="s">
        <v>29</v>
      </c>
      <c r="B1" s="28"/>
      <c r="C1" s="28"/>
    </row>
    <row r="2" spans="1:12" x14ac:dyDescent="0.3">
      <c r="A2" s="5"/>
    </row>
    <row r="4" spans="1:12" ht="21" x14ac:dyDescent="0.4">
      <c r="A4" s="25" t="s">
        <v>30</v>
      </c>
      <c r="B4" s="29"/>
    </row>
    <row r="5" spans="1:12" ht="31.5" customHeight="1" x14ac:dyDescent="0.3">
      <c r="A5" s="30" t="s">
        <v>3</v>
      </c>
      <c r="B5" s="30" t="s">
        <v>4</v>
      </c>
      <c r="C5" s="30" t="str">
        <f>Raw_Data!A5</f>
        <v>HDFC Bank</v>
      </c>
      <c r="D5" s="30" t="str">
        <f>Raw_Data!A6</f>
        <v>ICICI Bank</v>
      </c>
      <c r="E5" s="30" t="str">
        <f>Raw_Data!A7</f>
        <v>State Bank of India (SBI)</v>
      </c>
      <c r="F5" s="30" t="s">
        <v>31</v>
      </c>
      <c r="G5" s="30" t="s">
        <v>32</v>
      </c>
      <c r="H5" s="30" t="s">
        <v>33</v>
      </c>
      <c r="I5" s="30" t="s">
        <v>34</v>
      </c>
      <c r="J5" s="30" t="s">
        <v>35</v>
      </c>
      <c r="K5" s="30" t="s">
        <v>36</v>
      </c>
      <c r="L5" s="30"/>
    </row>
    <row r="6" spans="1:12" ht="42" customHeight="1" x14ac:dyDescent="0.3">
      <c r="A6" s="3" t="s">
        <v>5</v>
      </c>
      <c r="B6" s="9" t="s">
        <v>6</v>
      </c>
      <c r="C6" s="10">
        <f>IF(ISNUMBER(Raw_Data!D5),Raw_Data!D5,"N/A")</f>
        <v>1.94</v>
      </c>
      <c r="D6" s="10">
        <f>IF(ISNUMBER(Raw_Data!D6),Raw_Data!D6,"N/A")</f>
        <v>2.3199999999999998</v>
      </c>
      <c r="E6" s="10">
        <f>IF(ISNUMBER(Raw_Data!D7),Raw_Data!D7,"N/A")</f>
        <v>1.1200000000000001</v>
      </c>
      <c r="F6" s="10">
        <f t="shared" ref="F6:F13" si="0">IF(COUNT(C6:E6)&gt;=2,MAX(C6:E6),"N/A")</f>
        <v>2.3199999999999998</v>
      </c>
      <c r="G6" s="9" t="str">
        <f t="shared" ref="G6:G13" si="1">IF(ISNUMBER(F6),INDEX($C$5:$E$5,MATCH(F6,C6:E6,0)),"N/A")</f>
        <v>ICICI Bank</v>
      </c>
      <c r="H6" s="10">
        <f t="shared" ref="H6:H13" si="2">IF(COUNT(C6:E6)&gt;=2,MIN(C6:E6),"N/A")</f>
        <v>1.1200000000000001</v>
      </c>
      <c r="I6" s="9" t="str">
        <f t="shared" ref="I6:I13" si="3">IF(ISNUMBER(H6),INDEX($C$5:$E$5,MATCH(H6,C6:E6,0)),"N/A")</f>
        <v>State Bank of India (SBI)</v>
      </c>
      <c r="J6" s="9" t="str">
        <f t="shared" ref="J6:J13" si="4">IF(ISNUMBER(F6),IF(COUNTIF(C6:E6,F6)&gt;1,"Tie for highest (first bank shown)",IF(COUNTIF(C6:E6,H6)&gt;1,"Tie for lowest (first bank shown)","No tie")),"N/A")</f>
        <v>No tie</v>
      </c>
      <c r="K6" s="2" t="s">
        <v>37</v>
      </c>
      <c r="L6" s="2"/>
    </row>
    <row r="7" spans="1:12" ht="42" customHeight="1" x14ac:dyDescent="0.3">
      <c r="A7" s="3" t="s">
        <v>7</v>
      </c>
      <c r="B7" s="9" t="s">
        <v>6</v>
      </c>
      <c r="C7" s="10">
        <f>IF(ISNUMBER(Raw_Data!E5),Raw_Data!E5,"N/A")</f>
        <v>14.29</v>
      </c>
      <c r="D7" s="10">
        <f>IF(ISNUMBER(Raw_Data!E6),Raw_Data!E6,"N/A")</f>
        <v>15.97</v>
      </c>
      <c r="E7" s="10">
        <f>IF(ISNUMBER(Raw_Data!E7),Raw_Data!E7,"N/A")</f>
        <v>18.57</v>
      </c>
      <c r="F7" s="10">
        <f t="shared" si="0"/>
        <v>18.57</v>
      </c>
      <c r="G7" s="9" t="str">
        <f t="shared" si="1"/>
        <v>State Bank of India (SBI)</v>
      </c>
      <c r="H7" s="10">
        <f t="shared" si="2"/>
        <v>14.29</v>
      </c>
      <c r="I7" s="9" t="str">
        <f t="shared" si="3"/>
        <v>HDFC Bank</v>
      </c>
      <c r="J7" s="9" t="str">
        <f t="shared" si="4"/>
        <v>No tie</v>
      </c>
      <c r="K7" s="2" t="s">
        <v>38</v>
      </c>
      <c r="L7" s="2"/>
    </row>
    <row r="8" spans="1:12" ht="42" customHeight="1" x14ac:dyDescent="0.3">
      <c r="A8" s="3" t="s">
        <v>8</v>
      </c>
      <c r="B8" s="9" t="s">
        <v>6</v>
      </c>
      <c r="C8" s="10">
        <f>IF(ISNUMBER(Raw_Data!F5),Raw_Data!F5,"N/A")</f>
        <v>3.5</v>
      </c>
      <c r="D8" s="10">
        <f>IF(ISNUMBER(Raw_Data!F6),Raw_Data!F6,"N/A")</f>
        <v>4.32</v>
      </c>
      <c r="E8" s="10">
        <f>IF(ISNUMBER(Raw_Data!F7),Raw_Data!F7,"N/A")</f>
        <v>2.91</v>
      </c>
      <c r="F8" s="10">
        <f t="shared" si="0"/>
        <v>4.32</v>
      </c>
      <c r="G8" s="9" t="str">
        <f t="shared" si="1"/>
        <v>ICICI Bank</v>
      </c>
      <c r="H8" s="10">
        <f t="shared" si="2"/>
        <v>2.91</v>
      </c>
      <c r="I8" s="9" t="str">
        <f t="shared" si="3"/>
        <v>State Bank of India (SBI)</v>
      </c>
      <c r="J8" s="9" t="str">
        <f t="shared" si="4"/>
        <v>No tie</v>
      </c>
      <c r="K8" s="2" t="s">
        <v>39</v>
      </c>
      <c r="L8" s="2"/>
    </row>
    <row r="9" spans="1:12" ht="42" customHeight="1" x14ac:dyDescent="0.3">
      <c r="A9" s="3" t="s">
        <v>9</v>
      </c>
      <c r="B9" s="9" t="s">
        <v>6</v>
      </c>
      <c r="C9" s="10">
        <f>IF(ISNUMBER(Raw_Data!G5),Raw_Data!G5,"N/A")</f>
        <v>1.1499999999999999</v>
      </c>
      <c r="D9" s="10">
        <f>IF(ISNUMBER(Raw_Data!G6),Raw_Data!G6,"N/A")</f>
        <v>1.44</v>
      </c>
      <c r="E9" s="10">
        <f>IF(ISNUMBER(Raw_Data!G7),Raw_Data!G7,"N/A")</f>
        <v>1.49</v>
      </c>
      <c r="F9" s="10">
        <f t="shared" si="0"/>
        <v>1.49</v>
      </c>
      <c r="G9" s="9" t="str">
        <f t="shared" si="1"/>
        <v>State Bank of India (SBI)</v>
      </c>
      <c r="H9" s="10">
        <f t="shared" si="2"/>
        <v>1.1499999999999999</v>
      </c>
      <c r="I9" s="9" t="str">
        <f t="shared" si="3"/>
        <v>HDFC Bank</v>
      </c>
      <c r="J9" s="9" t="str">
        <f t="shared" si="4"/>
        <v>No tie</v>
      </c>
      <c r="K9" s="2" t="s">
        <v>40</v>
      </c>
      <c r="L9" s="2"/>
    </row>
    <row r="10" spans="1:12" ht="42" customHeight="1" x14ac:dyDescent="0.3">
      <c r="A10" s="3" t="s">
        <v>10</v>
      </c>
      <c r="B10" s="9" t="s">
        <v>6</v>
      </c>
      <c r="C10" s="10">
        <f>IF(ISNUMBER(Raw_Data!H5),Raw_Data!H5,"N/A")</f>
        <v>0.38</v>
      </c>
      <c r="D10" s="10">
        <f>IF(ISNUMBER(Raw_Data!H6),Raw_Data!H6,"N/A")</f>
        <v>0.35</v>
      </c>
      <c r="E10" s="10">
        <f>IF(ISNUMBER(Raw_Data!H7),Raw_Data!H7,"N/A")</f>
        <v>0.39</v>
      </c>
      <c r="F10" s="10">
        <f t="shared" si="0"/>
        <v>0.39</v>
      </c>
      <c r="G10" s="9" t="str">
        <f t="shared" si="1"/>
        <v>State Bank of India (SBI)</v>
      </c>
      <c r="H10" s="10">
        <f t="shared" si="2"/>
        <v>0.35</v>
      </c>
      <c r="I10" s="9" t="str">
        <f t="shared" si="3"/>
        <v>ICICI Bank</v>
      </c>
      <c r="J10" s="9" t="str">
        <f t="shared" si="4"/>
        <v>No tie</v>
      </c>
      <c r="K10" s="2" t="s">
        <v>41</v>
      </c>
      <c r="L10" s="2"/>
    </row>
    <row r="11" spans="1:12" ht="42" customHeight="1" x14ac:dyDescent="0.3">
      <c r="A11" s="3" t="s">
        <v>11</v>
      </c>
      <c r="B11" s="9" t="s">
        <v>6</v>
      </c>
      <c r="C11" s="10">
        <f>IF(ISNUMBER(Raw_Data!I5),Raw_Data!I5,"N/A")</f>
        <v>38</v>
      </c>
      <c r="D11" s="10">
        <f>IF(ISNUMBER(Raw_Data!I6),Raw_Data!I6,"N/A")</f>
        <v>39.75</v>
      </c>
      <c r="E11" s="10">
        <f>IF(ISNUMBER(Raw_Data!I7),Raw_Data!I7,"N/A")</f>
        <v>50.11</v>
      </c>
      <c r="F11" s="10">
        <f t="shared" si="0"/>
        <v>50.11</v>
      </c>
      <c r="G11" s="9" t="str">
        <f t="shared" si="1"/>
        <v>State Bank of India (SBI)</v>
      </c>
      <c r="H11" s="10">
        <f t="shared" si="2"/>
        <v>38</v>
      </c>
      <c r="I11" s="9" t="str">
        <f t="shared" si="3"/>
        <v>HDFC Bank</v>
      </c>
      <c r="J11" s="9" t="str">
        <f t="shared" si="4"/>
        <v>No tie</v>
      </c>
      <c r="K11" s="2" t="s">
        <v>42</v>
      </c>
      <c r="L11" s="2" t="s">
        <v>43</v>
      </c>
    </row>
    <row r="12" spans="1:12" ht="42" customHeight="1" x14ac:dyDescent="0.3">
      <c r="A12" s="3" t="s">
        <v>12</v>
      </c>
      <c r="B12" s="9" t="s">
        <v>13</v>
      </c>
      <c r="C12" s="11">
        <f>IF(ISNUMBER(Raw_Data!J5),Raw_Data!J5,"N/A")</f>
        <v>2937166.27</v>
      </c>
      <c r="D12" s="11">
        <f>IF(ISNUMBER(Raw_Data!J6),Raw_Data!J6,"N/A")</f>
        <v>1553892.95</v>
      </c>
      <c r="E12" s="11">
        <f>IF(ISNUMBER(Raw_Data!J7),Raw_Data!J7,"N/A")</f>
        <v>4877894.83</v>
      </c>
      <c r="F12" s="11">
        <f t="shared" si="0"/>
        <v>4877894.83</v>
      </c>
      <c r="G12" s="9" t="str">
        <f t="shared" si="1"/>
        <v>State Bank of India (SBI)</v>
      </c>
      <c r="H12" s="11">
        <f t="shared" si="2"/>
        <v>1553892.95</v>
      </c>
      <c r="I12" s="9" t="str">
        <f t="shared" si="3"/>
        <v>ICICI Bank</v>
      </c>
      <c r="J12" s="9" t="str">
        <f t="shared" si="4"/>
        <v>No tie</v>
      </c>
      <c r="K12" s="2" t="s">
        <v>44</v>
      </c>
      <c r="L12" s="2" t="s">
        <v>45</v>
      </c>
    </row>
    <row r="13" spans="1:12" ht="42" customHeight="1" x14ac:dyDescent="0.3">
      <c r="A13" s="3" t="s">
        <v>14</v>
      </c>
      <c r="B13" s="9" t="s">
        <v>13</v>
      </c>
      <c r="C13" s="11">
        <f>IF(ISNUMBER(Raw_Data!K5),Raw_Data!K5,"N/A")</f>
        <v>3105250.47</v>
      </c>
      <c r="D13" s="11">
        <f>IF(ISNUMBER(Raw_Data!K6),Raw_Data!K6,"N/A")</f>
        <v>1794624.98</v>
      </c>
      <c r="E13" s="11">
        <f>IF(ISNUMBER(Raw_Data!K7),Raw_Data!K7,"N/A")</f>
        <v>5975642.1200000001</v>
      </c>
      <c r="F13" s="11">
        <f t="shared" si="0"/>
        <v>5975642.1200000001</v>
      </c>
      <c r="G13" s="9" t="str">
        <f t="shared" si="1"/>
        <v>State Bank of India (SBI)</v>
      </c>
      <c r="H13" s="11">
        <f t="shared" si="2"/>
        <v>1794624.98</v>
      </c>
      <c r="I13" s="9" t="str">
        <f t="shared" si="3"/>
        <v>ICICI Bank</v>
      </c>
      <c r="J13" s="9" t="str">
        <f t="shared" si="4"/>
        <v>No tie</v>
      </c>
      <c r="K13" s="2" t="s">
        <v>46</v>
      </c>
      <c r="L13" s="2" t="s">
        <v>47</v>
      </c>
    </row>
    <row r="14" spans="1:12" x14ac:dyDescent="0.3">
      <c r="A14" s="1"/>
    </row>
    <row r="16" spans="1:12" ht="21" x14ac:dyDescent="0.4">
      <c r="A16" s="31" t="s">
        <v>48</v>
      </c>
      <c r="B16" s="32"/>
      <c r="C16" s="32"/>
      <c r="D16" s="32"/>
      <c r="E16" s="32"/>
    </row>
    <row r="17" spans="1:6" ht="27.75" customHeight="1" x14ac:dyDescent="0.3">
      <c r="A17" s="4" t="s">
        <v>3</v>
      </c>
      <c r="B17" s="4" t="s">
        <v>4</v>
      </c>
      <c r="C17" s="4" t="s">
        <v>49</v>
      </c>
      <c r="D17" s="4" t="s">
        <v>50</v>
      </c>
      <c r="E17" s="4" t="s">
        <v>51</v>
      </c>
      <c r="F17" s="4" t="s">
        <v>52</v>
      </c>
    </row>
    <row r="18" spans="1:6" ht="27.75" customHeight="1" x14ac:dyDescent="0.3">
      <c r="A18" s="3" t="s">
        <v>5</v>
      </c>
      <c r="B18" s="9" t="s">
        <v>53</v>
      </c>
      <c r="C18" s="12">
        <f t="shared" ref="C18:C25" si="5">IF(AND(ISNUMBER(C6),ISNUMBER(D6)),C6-D6,"N/A")</f>
        <v>-0.37999999999999989</v>
      </c>
      <c r="D18" s="12">
        <f t="shared" ref="D18:D25" si="6">IF(AND(ISNUMBER(C6),ISNUMBER(E6)),C6-E6,"N/A")</f>
        <v>0.81999999999999984</v>
      </c>
      <c r="E18" s="12">
        <f t="shared" ref="E18:E25" si="7">IF(AND(ISNUMBER(D6),ISNUMBER(E6)),D6-E6,"N/A")</f>
        <v>1.1999999999999997</v>
      </c>
      <c r="F18" s="2" t="s">
        <v>54</v>
      </c>
    </row>
    <row r="19" spans="1:6" ht="27.75" customHeight="1" x14ac:dyDescent="0.3">
      <c r="A19" s="3" t="s">
        <v>7</v>
      </c>
      <c r="B19" s="9" t="s">
        <v>53</v>
      </c>
      <c r="C19" s="12">
        <f t="shared" si="5"/>
        <v>-1.6800000000000015</v>
      </c>
      <c r="D19" s="12">
        <f t="shared" si="6"/>
        <v>-4.2800000000000011</v>
      </c>
      <c r="E19" s="12">
        <f t="shared" si="7"/>
        <v>-2.5999999999999996</v>
      </c>
      <c r="F19" s="2" t="s">
        <v>55</v>
      </c>
    </row>
    <row r="20" spans="1:6" ht="27.75" customHeight="1" x14ac:dyDescent="0.3">
      <c r="A20" s="3" t="s">
        <v>8</v>
      </c>
      <c r="B20" s="9" t="s">
        <v>53</v>
      </c>
      <c r="C20" s="12">
        <f t="shared" si="5"/>
        <v>-0.82000000000000028</v>
      </c>
      <c r="D20" s="12">
        <f t="shared" si="6"/>
        <v>0.58999999999999986</v>
      </c>
      <c r="E20" s="12">
        <f t="shared" si="7"/>
        <v>1.4100000000000001</v>
      </c>
      <c r="F20" s="2" t="s">
        <v>56</v>
      </c>
    </row>
    <row r="21" spans="1:6" ht="27.75" customHeight="1" x14ac:dyDescent="0.3">
      <c r="A21" s="3" t="s">
        <v>9</v>
      </c>
      <c r="B21" s="9" t="s">
        <v>53</v>
      </c>
      <c r="C21" s="12">
        <f t="shared" si="5"/>
        <v>-0.29000000000000004</v>
      </c>
      <c r="D21" s="12">
        <f t="shared" si="6"/>
        <v>-0.34000000000000008</v>
      </c>
      <c r="E21" s="12">
        <f t="shared" si="7"/>
        <v>-5.0000000000000044E-2</v>
      </c>
      <c r="F21" s="2" t="s">
        <v>54</v>
      </c>
    </row>
    <row r="22" spans="1:6" ht="27.75" customHeight="1" x14ac:dyDescent="0.3">
      <c r="A22" s="3" t="s">
        <v>10</v>
      </c>
      <c r="B22" s="9" t="s">
        <v>53</v>
      </c>
      <c r="C22" s="12">
        <f t="shared" si="5"/>
        <v>3.0000000000000027E-2</v>
      </c>
      <c r="D22" s="12">
        <f t="shared" si="6"/>
        <v>-1.0000000000000009E-2</v>
      </c>
      <c r="E22" s="12">
        <f t="shared" si="7"/>
        <v>-4.0000000000000036E-2</v>
      </c>
      <c r="F22" s="2" t="s">
        <v>54</v>
      </c>
    </row>
    <row r="23" spans="1:6" ht="27.75" customHeight="1" x14ac:dyDescent="0.3">
      <c r="A23" s="3" t="s">
        <v>11</v>
      </c>
      <c r="B23" s="9" t="s">
        <v>53</v>
      </c>
      <c r="C23" s="12">
        <f t="shared" si="5"/>
        <v>-1.75</v>
      </c>
      <c r="D23" s="12">
        <f t="shared" si="6"/>
        <v>-12.11</v>
      </c>
      <c r="E23" s="12">
        <f t="shared" si="7"/>
        <v>-10.36</v>
      </c>
      <c r="F23" s="2" t="s">
        <v>54</v>
      </c>
    </row>
    <row r="24" spans="1:6" ht="27.75" customHeight="1" x14ac:dyDescent="0.3">
      <c r="A24" s="3" t="s">
        <v>12</v>
      </c>
      <c r="B24" s="9" t="s">
        <v>13</v>
      </c>
      <c r="C24" s="13">
        <f t="shared" si="5"/>
        <v>1383273.32</v>
      </c>
      <c r="D24" s="13">
        <f t="shared" si="6"/>
        <v>-1940728.56</v>
      </c>
      <c r="E24" s="13">
        <f t="shared" si="7"/>
        <v>-3324001.88</v>
      </c>
      <c r="F24" s="2" t="s">
        <v>54</v>
      </c>
    </row>
    <row r="25" spans="1:6" ht="27.75" customHeight="1" x14ac:dyDescent="0.3">
      <c r="A25" s="3" t="s">
        <v>14</v>
      </c>
      <c r="B25" s="9" t="s">
        <v>13</v>
      </c>
      <c r="C25" s="13">
        <f t="shared" si="5"/>
        <v>1310625.4900000002</v>
      </c>
      <c r="D25" s="13">
        <f t="shared" si="6"/>
        <v>-2870391.65</v>
      </c>
      <c r="E25" s="13">
        <f t="shared" si="7"/>
        <v>-4181017.14</v>
      </c>
      <c r="F25" s="2" t="s">
        <v>54</v>
      </c>
    </row>
    <row r="26" spans="1:6" x14ac:dyDescent="0.3">
      <c r="A26" s="1"/>
    </row>
    <row r="28" spans="1:6" ht="21" x14ac:dyDescent="0.4">
      <c r="A28" s="31" t="s">
        <v>57</v>
      </c>
      <c r="B28" s="32"/>
      <c r="C28" s="32"/>
      <c r="D28" s="32"/>
      <c r="E28" s="32"/>
      <c r="F28" s="32"/>
    </row>
    <row r="29" spans="1:6" ht="31.5" customHeight="1" x14ac:dyDescent="0.3">
      <c r="A29" s="4" t="s">
        <v>16</v>
      </c>
      <c r="B29" s="4" t="s">
        <v>58</v>
      </c>
      <c r="C29" s="4" t="s">
        <v>59</v>
      </c>
      <c r="D29" s="4" t="s">
        <v>60</v>
      </c>
      <c r="E29" s="4" t="s">
        <v>61</v>
      </c>
      <c r="F29" s="4" t="s">
        <v>62</v>
      </c>
    </row>
    <row r="30" spans="1:6" ht="30" customHeight="1" x14ac:dyDescent="0.3">
      <c r="A30" s="3" t="s">
        <v>0</v>
      </c>
      <c r="B30" s="9" t="s">
        <v>12</v>
      </c>
      <c r="C30" s="14" t="str">
        <f>IF(ISNUMBER(#REF!),#REF!,"N/A")</f>
        <v>N/A</v>
      </c>
      <c r="D30" s="14">
        <f>C12</f>
        <v>2937166.27</v>
      </c>
      <c r="E30" s="10" t="str">
        <f t="shared" ref="E30:E35" si="8">IF(AND(ISNUMBER(C30),ISNUMBER(D30)),IF(C30&lt;&gt;0,(D30-C30)/C30*100,"N/A"),"N/A")</f>
        <v>N/A</v>
      </c>
      <c r="F30" s="2" t="s">
        <v>63</v>
      </c>
    </row>
    <row r="31" spans="1:6" ht="30" customHeight="1" x14ac:dyDescent="0.3">
      <c r="A31" s="3" t="s">
        <v>0</v>
      </c>
      <c r="B31" s="9" t="s">
        <v>14</v>
      </c>
      <c r="C31" s="14" t="str">
        <f>IF(ISNUMBER(#REF!),#REF!,"N/A")</f>
        <v>N/A</v>
      </c>
      <c r="D31" s="14">
        <f>C13</f>
        <v>3105250.47</v>
      </c>
      <c r="E31" s="10" t="str">
        <f t="shared" si="8"/>
        <v>N/A</v>
      </c>
      <c r="F31" s="2" t="s">
        <v>64</v>
      </c>
    </row>
    <row r="32" spans="1:6" ht="30" customHeight="1" x14ac:dyDescent="0.3">
      <c r="A32" s="3" t="s">
        <v>1</v>
      </c>
      <c r="B32" s="9" t="s">
        <v>12</v>
      </c>
      <c r="C32" s="14" t="str">
        <f>IF(ISNUMBER(#REF!),#REF!,"N/A")</f>
        <v>N/A</v>
      </c>
      <c r="D32" s="14">
        <f>D12</f>
        <v>1553892.95</v>
      </c>
      <c r="E32" s="10" t="str">
        <f t="shared" si="8"/>
        <v>N/A</v>
      </c>
      <c r="F32" s="2" t="s">
        <v>65</v>
      </c>
    </row>
    <row r="33" spans="1:6" ht="30" customHeight="1" x14ac:dyDescent="0.3">
      <c r="A33" s="3" t="s">
        <v>1</v>
      </c>
      <c r="B33" s="9" t="s">
        <v>14</v>
      </c>
      <c r="C33" s="14" t="str">
        <f>IF(ISNUMBER(#REF!),#REF!,"N/A")</f>
        <v>N/A</v>
      </c>
      <c r="D33" s="14">
        <f>D13</f>
        <v>1794624.98</v>
      </c>
      <c r="E33" s="10" t="str">
        <f t="shared" si="8"/>
        <v>N/A</v>
      </c>
      <c r="F33" s="2" t="s">
        <v>66</v>
      </c>
    </row>
    <row r="34" spans="1:6" ht="30" customHeight="1" x14ac:dyDescent="0.3">
      <c r="A34" s="3" t="s">
        <v>2</v>
      </c>
      <c r="B34" s="9" t="s">
        <v>12</v>
      </c>
      <c r="C34" s="14" t="str">
        <f>IF(ISNUMBER(#REF!),#REF!,"N/A")</f>
        <v>N/A</v>
      </c>
      <c r="D34" s="14">
        <f>E12</f>
        <v>4877894.83</v>
      </c>
      <c r="E34" s="10" t="str">
        <f t="shared" si="8"/>
        <v>N/A</v>
      </c>
      <c r="F34" s="2" t="s">
        <v>67</v>
      </c>
    </row>
    <row r="35" spans="1:6" ht="30" customHeight="1" x14ac:dyDescent="0.3">
      <c r="A35" s="3" t="s">
        <v>2</v>
      </c>
      <c r="B35" s="9" t="s">
        <v>14</v>
      </c>
      <c r="C35" s="14" t="str">
        <f>IF(ISNUMBER(#REF!),#REF!,"N/A")</f>
        <v>N/A</v>
      </c>
      <c r="D35" s="14">
        <f>E13</f>
        <v>5975642.1200000001</v>
      </c>
      <c r="E35" s="10" t="str">
        <f t="shared" si="8"/>
        <v>N/A</v>
      </c>
      <c r="F35" s="2" t="s">
        <v>68</v>
      </c>
    </row>
    <row r="37" spans="1:6" x14ac:dyDescent="0.3">
      <c r="A37" s="1"/>
    </row>
  </sheetData>
  <conditionalFormatting sqref="C6:E13">
    <cfRule type="expression" dxfId="1" priority="2">
      <formula>AND(ISNUMBER(C6),C6=$F6,COUNT($C6:$E6)&gt;=2)</formula>
    </cfRule>
    <cfRule type="expression" dxfId="0" priority="3">
      <formula>AND(ISNUMBER(C6),C6=$H6,COUNT($C6:$E6)&gt;=2)</formula>
    </cfRule>
  </conditionalFormatting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  <pageSetUpPr fitToPage="1"/>
  </sheetPr>
  <dimension ref="B2:AA65"/>
  <sheetViews>
    <sheetView showGridLines="0" tabSelected="1" zoomScale="65" zoomScaleNormal="90" workbookViewId="0">
      <selection activeCell="V34" sqref="V34"/>
    </sheetView>
  </sheetViews>
  <sheetFormatPr defaultColWidth="8.6640625" defaultRowHeight="14.4" x14ac:dyDescent="0.3"/>
  <cols>
    <col min="1" max="1" width="2" customWidth="1"/>
    <col min="2" max="16" width="11.44140625" customWidth="1"/>
    <col min="17" max="17" width="2" customWidth="1"/>
    <col min="19" max="19" width="12" customWidth="1"/>
    <col min="20" max="27" width="14" customWidth="1"/>
  </cols>
  <sheetData>
    <row r="2" spans="2:27" ht="31.5" customHeight="1" x14ac:dyDescent="0.3">
      <c r="B2" s="20" t="s">
        <v>69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2:27" ht="19.5" customHeight="1" x14ac:dyDescent="0.35">
      <c r="B3" s="21" t="s">
        <v>70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2:27" x14ac:dyDescent="0.3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27" ht="3.75" customHeight="1" x14ac:dyDescent="0.3"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</row>
    <row r="6" spans="2:27" ht="18" customHeight="1" x14ac:dyDescent="0.3"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3"/>
    </row>
    <row r="7" spans="2:27" ht="33.75" customHeight="1" x14ac:dyDescent="0.3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3"/>
    </row>
    <row r="8" spans="2:27" ht="30" customHeight="1" x14ac:dyDescent="0.3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3"/>
    </row>
    <row r="9" spans="2:27" x14ac:dyDescent="0.3">
      <c r="S9" s="16" t="s">
        <v>71</v>
      </c>
    </row>
    <row r="10" spans="2:27" ht="24" x14ac:dyDescent="0.3">
      <c r="S10" s="17" t="s">
        <v>16</v>
      </c>
      <c r="T10" s="17" t="s">
        <v>19</v>
      </c>
      <c r="U10" s="17" t="s">
        <v>21</v>
      </c>
      <c r="V10" s="17" t="s">
        <v>20</v>
      </c>
      <c r="W10" s="17" t="s">
        <v>22</v>
      </c>
      <c r="X10" s="17" t="s">
        <v>23</v>
      </c>
      <c r="Y10" s="17" t="s">
        <v>24</v>
      </c>
      <c r="Z10" s="17" t="s">
        <v>25</v>
      </c>
      <c r="AA10" s="17" t="s">
        <v>26</v>
      </c>
    </row>
    <row r="11" spans="2:27" x14ac:dyDescent="0.3">
      <c r="S11" s="18" t="s">
        <v>72</v>
      </c>
      <c r="T11" s="10">
        <f>IF(ISNUMBER(Analysis!C6),Analysis!C6,NA())</f>
        <v>1.94</v>
      </c>
      <c r="U11" s="10">
        <f>IF(ISNUMBER(Analysis!C8),Analysis!C8,NA())</f>
        <v>3.5</v>
      </c>
      <c r="V11" s="10">
        <f>IF(ISNUMBER(Analysis!C7),Analysis!C7,NA())</f>
        <v>14.29</v>
      </c>
      <c r="W11" s="10">
        <f>IF(ISNUMBER(Analysis!C9),Analysis!C9,NA())</f>
        <v>1.1499999999999999</v>
      </c>
      <c r="X11" s="10">
        <f>IF(ISNUMBER(Analysis!C10),Analysis!C10,NA())</f>
        <v>0.38</v>
      </c>
      <c r="Y11" s="10">
        <f>IF(ISNUMBER(Analysis!C11),Analysis!C11,NA())</f>
        <v>38</v>
      </c>
      <c r="Z11" s="11">
        <f>IF(ISNUMBER(Analysis!C12),Analysis!C12,NA())</f>
        <v>2937166.27</v>
      </c>
      <c r="AA11" s="11">
        <f>IF(ISNUMBER(Analysis!C13),Analysis!C13,NA())</f>
        <v>3105250.47</v>
      </c>
    </row>
    <row r="12" spans="2:27" x14ac:dyDescent="0.3">
      <c r="S12" s="18" t="s">
        <v>73</v>
      </c>
      <c r="T12" s="10">
        <f>IF(ISNUMBER(Analysis!D6),Analysis!D6,NA())</f>
        <v>2.3199999999999998</v>
      </c>
      <c r="U12" s="10">
        <f>IF(ISNUMBER(Analysis!D8),Analysis!D8,NA())</f>
        <v>4.32</v>
      </c>
      <c r="V12" s="10">
        <f>IF(ISNUMBER(Analysis!D7),Analysis!D7,NA())</f>
        <v>15.97</v>
      </c>
      <c r="W12" s="10">
        <f>IF(ISNUMBER(Analysis!D9),Analysis!D9,NA())</f>
        <v>1.44</v>
      </c>
      <c r="X12" s="10">
        <f>IF(ISNUMBER(Analysis!D10),Analysis!D10,NA())</f>
        <v>0.35</v>
      </c>
      <c r="Y12" s="10">
        <f>IF(ISNUMBER(Analysis!D11),Analysis!D11,NA())</f>
        <v>39.75</v>
      </c>
      <c r="Z12" s="11">
        <f>IF(ISNUMBER(Analysis!D12),Analysis!D12,NA())</f>
        <v>1553892.95</v>
      </c>
      <c r="AA12" s="11">
        <f>IF(ISNUMBER(Analysis!D13),Analysis!D13,NA())</f>
        <v>1794624.98</v>
      </c>
    </row>
    <row r="13" spans="2:27" x14ac:dyDescent="0.3">
      <c r="S13" s="18" t="s">
        <v>74</v>
      </c>
      <c r="T13" s="10">
        <f>IF(ISNUMBER(Analysis!E6),Analysis!E6,NA())</f>
        <v>1.1200000000000001</v>
      </c>
      <c r="U13" s="10">
        <f>IF(ISNUMBER(Analysis!E8),Analysis!E8,NA())</f>
        <v>2.91</v>
      </c>
      <c r="V13" s="10">
        <f>IF(ISNUMBER(Analysis!E7),Analysis!E7,NA())</f>
        <v>18.57</v>
      </c>
      <c r="W13" s="10">
        <f>IF(ISNUMBER(Analysis!E9),Analysis!E9,NA())</f>
        <v>1.49</v>
      </c>
      <c r="X13" s="10">
        <f>IF(ISNUMBER(Analysis!E10),Analysis!E10,NA())</f>
        <v>0.39</v>
      </c>
      <c r="Y13" s="10">
        <f>IF(ISNUMBER(Analysis!E11),Analysis!E11,NA())</f>
        <v>50.11</v>
      </c>
      <c r="Z13" s="11">
        <f>IF(ISNUMBER(Analysis!E12),Analysis!E12,NA())</f>
        <v>4877894.83</v>
      </c>
      <c r="AA13" s="11">
        <f>IF(ISNUMBER(Analysis!E13),Analysis!E13,NA())</f>
        <v>5975642.1200000001</v>
      </c>
    </row>
    <row r="58" spans="2:16" ht="19.5" customHeight="1" x14ac:dyDescent="0.3">
      <c r="B58" s="19" t="s">
        <v>76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2:16" ht="43.5" customHeight="1" x14ac:dyDescent="0.3">
      <c r="B59" s="24" t="str">
        <f>IF(COUNT(Analysis!C6:E8)=9,"Profitability – "&amp;"ROA: highest "&amp;Analysis!G6&amp;" ("&amp;TEXT(Analysis!F6,"0.00")&amp;"%)"&amp;", lowest "&amp;Analysis!I6&amp;" ("&amp;TEXT(Analysis!H6,"0.00")&amp;"%)"&amp;". "&amp;"ROE: highest "&amp;Analysis!G7&amp;" ("&amp;TEXT(Analysis!F7,"0.00")&amp;"%)"&amp;", lowest "&amp;Analysis!I7&amp;" ("&amp;TEXT(Analysis!H7,"0.00")&amp;"%)"&amp;". "&amp;"NIM: highest "&amp;Analysis!G8&amp;" ("&amp;TEXT(Analysis!F8,"0.00")&amp;"%)"&amp;", lowest "&amp;Analysis!I8&amp;" ("&amp;TEXT(Analysis!H8,"0.00")&amp;"%)"&amp;". "&amp;"Ranks differ by metric and NIM definitions are not identical, so no overall profitability leader is declared.","Profitability – insufficient comparable data; no reliable conclusion can be drawn.")</f>
        <v>Profitability – ROA: highest ICICI Bank (2.32%), lowest State Bank of India (SBI) (1.12%). ROE: highest State Bank of India (SBI) (18.57%), lowest HDFC Bank (14.29%). NIM: highest ICICI Bank (4.32%), lowest State Bank of India (SBI) (2.91%). Ranks differ by metric and NIM definitions are not identical, so no overall profitability leader is declared.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2:16" ht="43.5" customHeight="1" x14ac:dyDescent="0.3">
      <c r="B60" s="24" t="str">
        <f>IF(COUNT(Analysis!C9:E10)=6,"Asset quality – "&amp;"GNPA: highest "&amp;Analysis!G9&amp;" ("&amp;TEXT(Analysis!F9,"0.00")&amp;"%)"&amp;", lowest "&amp;Analysis!I9&amp;" ("&amp;TEXT(Analysis!H9,"0.00")&amp;"%)"&amp;". "&amp;"NNPA: highest "&amp;Analysis!G10&amp;" ("&amp;TEXT(Analysis!F10,"0.00")&amp;"%)"&amp;", lowest "&amp;Analysis!I10&amp;" ("&amp;TEXT(Analysis!H10,"0.00")&amp;"%)"&amp;". "&amp;"Lower ratios indicate better reported asset quality; ratios are standalone and on advances.","Asset quality – insufficient comparable data; no reliable conclusion can be drawn.")</f>
        <v>Asset quality – GNPA: highest State Bank of India (SBI) (1.49%), lowest HDFC Bank (1.15%). NNPA: highest State Bank of India (SBI) (0.39%), lowest ICICI Bank (0.35%). Lower ratios indicate better reported asset quality; ratios are standalone and on advances.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2:16" ht="43.5" customHeight="1" x14ac:dyDescent="0.3">
      <c r="B61" s="24" t="str">
        <f>IF(COUNT(Analysis!C11:E11)=3,"Operating efficiency – "&amp;"Cost-to-Income: highest "&amp;Analysis!G11&amp;" ("&amp;TEXT(Analysis!F11,"0.00")&amp;"%)"&amp;", lowest "&amp;Analysis!I11&amp;" ("&amp;TEXT(Analysis!H11,"0.00")&amp;"%)"&amp;". "&amp;"Lower generally indicates better efficiency, subject to differing cost/income definitions.","Operating efficiency – insufficient comparable data; no reliable conclusion can be drawn.")</f>
        <v>Operating efficiency – Cost-to-Income: highest State Bank of India (SBI) (50.11%), lowest HDFC Bank (38.00%). Lower generally indicates better efficiency, subject to differing cost/income definitions.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2:16" ht="43.5" customHeight="1" x14ac:dyDescent="0.3">
      <c r="B62" s="24" t="str">
        <f>IF(COUNT(Analysis!C12:E13)=6,"Advances and deposits – largest advances: "&amp;Analysis!G12&amp;" (₹"&amp;TEXT(Analysis!F12,"#,##0")&amp;" crore); largest deposits: "&amp;Analysis!G13&amp;" (₹"&amp;TEXT(Analysis!F13,"#,##0")&amp;" crore). Year-end standalone balances show scale, not performance.","Advances and deposits – insufficient comparable data; no reliable conclusion can be drawn.")</f>
        <v>Advances and deposits – largest advances: State Bank of India (SBI) (₹4,877,895 crore); largest deposits: State Bank of India (SBI) (₹5,975,642 crore). Year-end standalone balances show scale, not performance.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2:16" ht="43.5" customHeight="1" x14ac:dyDescent="0.3">
      <c r="B63" s="24" t="e">
        <f>"Data comparability and verification – all three banks use "&amp;Raw_Data!B5&amp;" "&amp;LOWER(Raw_Data!C5)&amp;" figures. "&amp;COUNTIF(#REF!,"Verified against PDF")&amp;" of 24 observations are verified against the original PDF; "&amp;COUNTIF(#REF!,"Partially verified")&amp;" are partially verified (text-extract only). QA: "&amp;COUNTIF(#REF!,"PASS")&amp;" PASS, "&amp;COUNTIF(#REF!,"WARNING")&amp;" WARNING, "&amp;COUNTIF(#REF!,"FAIL")&amp;" FAIL. NIM definitions differ and SBI ROE/NIM bases are unconfirmed."</f>
        <v>#REF!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5" spans="2:16" ht="25.5" customHeight="1" x14ac:dyDescent="0.3">
      <c r="B65" s="23" t="s">
        <v>75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</row>
  </sheetData>
  <mergeCells count="24">
    <mergeCell ref="B65:P65"/>
    <mergeCell ref="B59:P59"/>
    <mergeCell ref="B60:P60"/>
    <mergeCell ref="B61:P61"/>
    <mergeCell ref="B62:P62"/>
    <mergeCell ref="B63:P63"/>
    <mergeCell ref="B8:D8"/>
    <mergeCell ref="E8:G8"/>
    <mergeCell ref="H8:J8"/>
    <mergeCell ref="K8:M8"/>
    <mergeCell ref="N8:P8"/>
    <mergeCell ref="B7:D7"/>
    <mergeCell ref="E7:G7"/>
    <mergeCell ref="H7:J7"/>
    <mergeCell ref="K7:M7"/>
    <mergeCell ref="N7:P7"/>
    <mergeCell ref="B2:P2"/>
    <mergeCell ref="B3:P3"/>
    <mergeCell ref="B4:P4"/>
    <mergeCell ref="B6:D6"/>
    <mergeCell ref="E6:G6"/>
    <mergeCell ref="H6:J6"/>
    <mergeCell ref="K6:M6"/>
    <mergeCell ref="N6:P6"/>
  </mergeCells>
  <pageMargins left="0.4" right="0.4" top="0.5" bottom="0.5" header="0.511811023622047" footer="0.511811023622047"/>
  <pageSetup paperSize="9" fitToHeight="2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Raw_Data</vt:lpstr>
      <vt:lpstr>Analysis</vt:lpstr>
      <vt:lpstr>Dashboard</vt:lpstr>
      <vt:lpstr>Analysis!Print_Area</vt:lpstr>
      <vt:lpstr>Dashboard!Print_Area</vt:lpstr>
      <vt:lpstr>Raw_Data!Print_Area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Rajput</cp:lastModifiedBy>
  <dcterms:created xsi:type="dcterms:W3CDTF">2026-10-12T12:29:51Z</dcterms:created>
  <dcterms:modified xsi:type="dcterms:W3CDTF">2026-10-13T02:56:35Z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2026-10-12T07:39:07Z</dcterms:created>
  <dc:creator>openpyxl</dc:creator>
  <dc:description/>
  <dc:language>en-US</dc:language>
  <cp:lastModifiedBy/>
  <dcterms:modified xsi:type="dcterms:W3CDTF">2026-10-12T07:39:07Z</dcterms:modified>
  <cp:revision>0</cp:revision>
  <dc:subject/>
  <dc:title/>
</cp:coreProperties>
</file>